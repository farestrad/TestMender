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ehsan_shahmi\TestMender\"/>
    </mc:Choice>
  </mc:AlternateContent>
  <xr:revisionPtr revIDLastSave="0" documentId="13_ncr:1_{5754B2DF-7B6E-49A5-8F81-77672E2CE9C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G26" i="1"/>
  <c r="E26" i="1"/>
  <c r="F15" i="1"/>
  <c r="G15" i="1"/>
  <c r="E15" i="1"/>
</calcChain>
</file>

<file path=xl/sharedStrings.xml><?xml version="1.0" encoding="utf-8"?>
<sst xmlns="http://schemas.openxmlformats.org/spreadsheetml/2006/main" count="26" uniqueCount="14">
  <si>
    <t>gpt_results</t>
  </si>
  <si>
    <t>gpt_with_cppcheck</t>
  </si>
  <si>
    <t>gpt_with_semgrep</t>
  </si>
  <si>
    <t>CWE121</t>
  </si>
  <si>
    <t>CWE122</t>
  </si>
  <si>
    <t>CWE190</t>
  </si>
  <si>
    <t>CWE364</t>
  </si>
  <si>
    <t>CWE476</t>
  </si>
  <si>
    <t>CWE546</t>
  </si>
  <si>
    <t>CWE665</t>
  </si>
  <si>
    <t>CWE835</t>
  </si>
  <si>
    <t>harness_results</t>
  </si>
  <si>
    <t>coverage_results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</si>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</sst>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Harness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gpt_results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0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Sheet1!$C$7:$D$15</c:f>
              <c:multiLvlStrCache>
                <c:ptCount val="9"/>
                <c:lvl>
                  <c:pt idx="0">
                    <c:v>CWE121</c:v>
                  </c:pt>
                  <c:pt idx="1">
                    <c:v>CWE122</c:v>
                  </c:pt>
                  <c:pt idx="2">
                    <c:v>CWE190</c:v>
                  </c:pt>
                  <c:pt idx="3">
                    <c:v>CWE364</c:v>
                  </c:pt>
                  <c:pt idx="4">
                    <c:v>CWE476</c:v>
                  </c:pt>
                  <c:pt idx="5">
                    <c:v>CWE546</c:v>
                  </c:pt>
                  <c:pt idx="6">
                    <c:v>CWE665</c:v>
                  </c:pt>
                  <c:pt idx="7">
                    <c:v>CWE835</c:v>
                  </c:pt>
                  <c:pt idx="8">
                    <c:v>Avg</c:v>
                  </c:pt>
                </c:lvl>
                <c:lvl>
                  <c:pt idx="0">
                    <c:v>harness_results</c:v>
                  </c:pt>
                </c:lvl>
              </c:multiLvlStrCache>
            </c:multiLvlStrRef>
          </c:cat>
          <c:val>
            <c:numRef>
              <c:f>Sheet1!$E$7:$E$15</c:f>
              <c:numCache>
                <c:formatCode>General</c:formatCode>
                <c:ptCount val="9"/>
                <c:pt idx="0">
                  <c:v>65</c:v>
                </c:pt>
                <c:pt idx="1">
                  <c:v>40</c:v>
                </c:pt>
                <c:pt idx="2">
                  <c:v>45</c:v>
                </c:pt>
                <c:pt idx="3">
                  <c:v>100</c:v>
                </c:pt>
                <c:pt idx="4">
                  <c:v>45</c:v>
                </c:pt>
                <c:pt idx="5">
                  <c:v>100</c:v>
                </c:pt>
                <c:pt idx="6">
                  <c:v>45</c:v>
                </c:pt>
                <c:pt idx="7">
                  <c:v>100</c:v>
                </c:pt>
                <c:pt idx="8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B-4B17-A017-D3292594B3E6}"/>
            </c:ext>
          </c:extLst>
        </c:ser>
        <c:ser>
          <c:idx val="1"/>
          <c:order val="1"/>
          <c:tx>
            <c:strRef>
              <c:f>Sheet1!$F$6</c:f>
              <c:strCache>
                <c:ptCount val="1"/>
                <c:pt idx="0">
                  <c:v>gpt_with_semgrep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multiLvlStrRef>
              <c:f>Sheet1!$C$7:$D$15</c:f>
              <c:multiLvlStrCache>
                <c:ptCount val="9"/>
                <c:lvl>
                  <c:pt idx="0">
                    <c:v>CWE121</c:v>
                  </c:pt>
                  <c:pt idx="1">
                    <c:v>CWE122</c:v>
                  </c:pt>
                  <c:pt idx="2">
                    <c:v>CWE190</c:v>
                  </c:pt>
                  <c:pt idx="3">
                    <c:v>CWE364</c:v>
                  </c:pt>
                  <c:pt idx="4">
                    <c:v>CWE476</c:v>
                  </c:pt>
                  <c:pt idx="5">
                    <c:v>CWE546</c:v>
                  </c:pt>
                  <c:pt idx="6">
                    <c:v>CWE665</c:v>
                  </c:pt>
                  <c:pt idx="7">
                    <c:v>CWE835</c:v>
                  </c:pt>
                  <c:pt idx="8">
                    <c:v>Avg</c:v>
                  </c:pt>
                </c:lvl>
                <c:lvl>
                  <c:pt idx="0">
                    <c:v>harness_results</c:v>
                  </c:pt>
                </c:lvl>
              </c:multiLvlStrCache>
            </c:multiLvlStrRef>
          </c:cat>
          <c:val>
            <c:numRef>
              <c:f>Sheet1!$F$7:$F$15</c:f>
              <c:numCache>
                <c:formatCode>General</c:formatCode>
                <c:ptCount val="9"/>
                <c:pt idx="0">
                  <c:v>65</c:v>
                </c:pt>
                <c:pt idx="1">
                  <c:v>40</c:v>
                </c:pt>
                <c:pt idx="2">
                  <c:v>45</c:v>
                </c:pt>
                <c:pt idx="3">
                  <c:v>100</c:v>
                </c:pt>
                <c:pt idx="4">
                  <c:v>45</c:v>
                </c:pt>
                <c:pt idx="5">
                  <c:v>100</c:v>
                </c:pt>
                <c:pt idx="6">
                  <c:v>45</c:v>
                </c:pt>
                <c:pt idx="7">
                  <c:v>100</c:v>
                </c:pt>
                <c:pt idx="8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B-4B17-A017-D3292594B3E6}"/>
            </c:ext>
          </c:extLst>
        </c:ser>
        <c:ser>
          <c:idx val="2"/>
          <c:order val="2"/>
          <c:tx>
            <c:strRef>
              <c:f>Sheet1!$G$6</c:f>
              <c:strCache>
                <c:ptCount val="1"/>
                <c:pt idx="0">
                  <c:v>gpt_with_cppcheck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multiLvlStrRef>
              <c:f>Sheet1!$C$7:$D$15</c:f>
              <c:multiLvlStrCache>
                <c:ptCount val="9"/>
                <c:lvl>
                  <c:pt idx="0">
                    <c:v>CWE121</c:v>
                  </c:pt>
                  <c:pt idx="1">
                    <c:v>CWE122</c:v>
                  </c:pt>
                  <c:pt idx="2">
                    <c:v>CWE190</c:v>
                  </c:pt>
                  <c:pt idx="3">
                    <c:v>CWE364</c:v>
                  </c:pt>
                  <c:pt idx="4">
                    <c:v>CWE476</c:v>
                  </c:pt>
                  <c:pt idx="5">
                    <c:v>CWE546</c:v>
                  </c:pt>
                  <c:pt idx="6">
                    <c:v>CWE665</c:v>
                  </c:pt>
                  <c:pt idx="7">
                    <c:v>CWE835</c:v>
                  </c:pt>
                  <c:pt idx="8">
                    <c:v>Avg</c:v>
                  </c:pt>
                </c:lvl>
                <c:lvl>
                  <c:pt idx="0">
                    <c:v>harness_results</c:v>
                  </c:pt>
                </c:lvl>
              </c:multiLvlStrCache>
            </c:multiLvlStrRef>
          </c:cat>
          <c:val>
            <c:numRef>
              <c:f>Sheet1!$G$7:$G$15</c:f>
              <c:numCache>
                <c:formatCode>General</c:formatCode>
                <c:ptCount val="9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4B-4B17-A017-D3292594B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gapDepth val="66"/>
        <c:shape val="box"/>
        <c:axId val="1161913663"/>
        <c:axId val="1161914143"/>
        <c:axId val="0"/>
      </c:bar3DChart>
      <c:catAx>
        <c:axId val="116191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914143"/>
        <c:crosses val="autoZero"/>
        <c:auto val="1"/>
        <c:lblAlgn val="ctr"/>
        <c:lblOffset val="100"/>
        <c:noMultiLvlLbl val="0"/>
      </c:catAx>
      <c:valAx>
        <c:axId val="116191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913663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Sheet1!$E$17</c:f>
              <c:strCache>
                <c:ptCount val="1"/>
                <c:pt idx="0">
                  <c:v>gpt_results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multiLvlStrRef>
              <c:f>Sheet1!$C$18:$D$26</c:f>
              <c:multiLvlStrCache>
                <c:ptCount val="9"/>
                <c:lvl>
                  <c:pt idx="0">
                    <c:v>CWE121</c:v>
                  </c:pt>
                  <c:pt idx="1">
                    <c:v>CWE122</c:v>
                  </c:pt>
                  <c:pt idx="2">
                    <c:v>CWE190</c:v>
                  </c:pt>
                  <c:pt idx="3">
                    <c:v>CWE364</c:v>
                  </c:pt>
                  <c:pt idx="4">
                    <c:v>CWE476</c:v>
                  </c:pt>
                  <c:pt idx="5">
                    <c:v>CWE546</c:v>
                  </c:pt>
                  <c:pt idx="6">
                    <c:v>CWE665</c:v>
                  </c:pt>
                  <c:pt idx="7">
                    <c:v>CWE835</c:v>
                  </c:pt>
                  <c:pt idx="8">
                    <c:v>Avg</c:v>
                  </c:pt>
                </c:lvl>
                <c:lvl>
                  <c:pt idx="0">
                    <c:v>coverage_results</c:v>
                  </c:pt>
                </c:lvl>
              </c:multiLvlStrCache>
            </c:multiLvlStrRef>
          </c:cat>
          <c:val>
            <c:numRef>
              <c:f>Sheet1!$E$18:$E$26</c:f>
              <c:numCache>
                <c:formatCode>General</c:formatCode>
                <c:ptCount val="9"/>
                <c:pt idx="0">
                  <c:v>65.010000000000005</c:v>
                </c:pt>
                <c:pt idx="1">
                  <c:v>45.09</c:v>
                </c:pt>
                <c:pt idx="2">
                  <c:v>63.11</c:v>
                </c:pt>
                <c:pt idx="3">
                  <c:v>85.41</c:v>
                </c:pt>
                <c:pt idx="4">
                  <c:v>44.44</c:v>
                </c:pt>
                <c:pt idx="5">
                  <c:v>84.84</c:v>
                </c:pt>
                <c:pt idx="6">
                  <c:v>53.21</c:v>
                </c:pt>
                <c:pt idx="7">
                  <c:v>69.67</c:v>
                </c:pt>
                <c:pt idx="8">
                  <c:v>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F-40B7-A178-113224CE7ABB}"/>
            </c:ext>
          </c:extLst>
        </c:ser>
        <c:ser>
          <c:idx val="1"/>
          <c:order val="1"/>
          <c:tx>
            <c:strRef>
              <c:f>Sheet1!$F$17</c:f>
              <c:strCache>
                <c:ptCount val="1"/>
                <c:pt idx="0">
                  <c:v>gpt_with_semgrep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multiLvlStrRef>
              <c:f>Sheet1!$C$18:$D$26</c:f>
              <c:multiLvlStrCache>
                <c:ptCount val="9"/>
                <c:lvl>
                  <c:pt idx="0">
                    <c:v>CWE121</c:v>
                  </c:pt>
                  <c:pt idx="1">
                    <c:v>CWE122</c:v>
                  </c:pt>
                  <c:pt idx="2">
                    <c:v>CWE190</c:v>
                  </c:pt>
                  <c:pt idx="3">
                    <c:v>CWE364</c:v>
                  </c:pt>
                  <c:pt idx="4">
                    <c:v>CWE476</c:v>
                  </c:pt>
                  <c:pt idx="5">
                    <c:v>CWE546</c:v>
                  </c:pt>
                  <c:pt idx="6">
                    <c:v>CWE665</c:v>
                  </c:pt>
                  <c:pt idx="7">
                    <c:v>CWE835</c:v>
                  </c:pt>
                  <c:pt idx="8">
                    <c:v>Avg</c:v>
                  </c:pt>
                </c:lvl>
                <c:lvl>
                  <c:pt idx="0">
                    <c:v>coverage_results</c:v>
                  </c:pt>
                </c:lvl>
              </c:multiLvlStrCache>
            </c:multiLvlStrRef>
          </c:cat>
          <c:val>
            <c:numRef>
              <c:f>Sheet1!$F$18:$F$26</c:f>
              <c:numCache>
                <c:formatCode>General</c:formatCode>
                <c:ptCount val="9"/>
                <c:pt idx="0">
                  <c:v>52.26</c:v>
                </c:pt>
                <c:pt idx="1">
                  <c:v>40.92</c:v>
                </c:pt>
                <c:pt idx="2">
                  <c:v>44.76</c:v>
                </c:pt>
                <c:pt idx="3">
                  <c:v>27.47</c:v>
                </c:pt>
                <c:pt idx="4">
                  <c:v>41.94</c:v>
                </c:pt>
                <c:pt idx="5">
                  <c:v>61.96</c:v>
                </c:pt>
                <c:pt idx="6">
                  <c:v>41.32</c:v>
                </c:pt>
                <c:pt idx="7">
                  <c:v>62.07</c:v>
                </c:pt>
                <c:pt idx="8">
                  <c:v>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9F-40B7-A178-113224CE7ABB}"/>
            </c:ext>
          </c:extLst>
        </c:ser>
        <c:ser>
          <c:idx val="2"/>
          <c:order val="2"/>
          <c:tx>
            <c:strRef>
              <c:f>Sheet1!$G$17</c:f>
              <c:strCache>
                <c:ptCount val="1"/>
                <c:pt idx="0">
                  <c:v>gpt_with_cppcheck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multiLvlStrRef>
              <c:f>Sheet1!$C$18:$D$26</c:f>
              <c:multiLvlStrCache>
                <c:ptCount val="9"/>
                <c:lvl>
                  <c:pt idx="0">
                    <c:v>CWE121</c:v>
                  </c:pt>
                  <c:pt idx="1">
                    <c:v>CWE122</c:v>
                  </c:pt>
                  <c:pt idx="2">
                    <c:v>CWE190</c:v>
                  </c:pt>
                  <c:pt idx="3">
                    <c:v>CWE364</c:v>
                  </c:pt>
                  <c:pt idx="4">
                    <c:v>CWE476</c:v>
                  </c:pt>
                  <c:pt idx="5">
                    <c:v>CWE546</c:v>
                  </c:pt>
                  <c:pt idx="6">
                    <c:v>CWE665</c:v>
                  </c:pt>
                  <c:pt idx="7">
                    <c:v>CWE835</c:v>
                  </c:pt>
                  <c:pt idx="8">
                    <c:v>Avg</c:v>
                  </c:pt>
                </c:lvl>
                <c:lvl>
                  <c:pt idx="0">
                    <c:v>coverage_results</c:v>
                  </c:pt>
                </c:lvl>
              </c:multiLvlStrCache>
            </c:multiLvlStrRef>
          </c:cat>
          <c:val>
            <c:numRef>
              <c:f>Sheet1!$G$18:$G$26</c:f>
              <c:numCache>
                <c:formatCode>General</c:formatCode>
                <c:ptCount val="9"/>
                <c:pt idx="0">
                  <c:v>53.01</c:v>
                </c:pt>
                <c:pt idx="1">
                  <c:v>39.28</c:v>
                </c:pt>
                <c:pt idx="2">
                  <c:v>44.39</c:v>
                </c:pt>
                <c:pt idx="3">
                  <c:v>37.72</c:v>
                </c:pt>
                <c:pt idx="4">
                  <c:v>43.66</c:v>
                </c:pt>
                <c:pt idx="5">
                  <c:v>62.17</c:v>
                </c:pt>
                <c:pt idx="6">
                  <c:v>40.74</c:v>
                </c:pt>
                <c:pt idx="7">
                  <c:v>61.54</c:v>
                </c:pt>
                <c:pt idx="8">
                  <c:v>47.75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9F-40B7-A178-113224CE7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8082415"/>
        <c:axId val="1228080015"/>
        <c:axId val="0"/>
      </c:bar3DChart>
      <c:catAx>
        <c:axId val="122808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80015"/>
        <c:crosses val="autoZero"/>
        <c:auto val="1"/>
        <c:lblAlgn val="ctr"/>
        <c:lblOffset val="100"/>
        <c:noMultiLvlLbl val="0"/>
      </c:catAx>
      <c:valAx>
        <c:axId val="122808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82415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1</xdr:row>
      <xdr:rowOff>161925</xdr:rowOff>
    </xdr:from>
    <xdr:to>
      <xdr:col>18</xdr:col>
      <xdr:colOff>314324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92C9A-1D98-67B4-C4C0-23488AD68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16</xdr:row>
      <xdr:rowOff>247650</xdr:rowOff>
    </xdr:from>
    <xdr:to>
      <xdr:col>18</xdr:col>
      <xdr:colOff>333375</xdr:colOff>
      <xdr:row>30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4D656C-5C44-1C97-DE22-227DC6F52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G26"/>
  <sheetViews>
    <sheetView tabSelected="1" workbookViewId="0">
      <selection activeCell="V18" sqref="V18"/>
    </sheetView>
  </sheetViews>
  <sheetFormatPr defaultRowHeight="15" x14ac:dyDescent="0.25"/>
  <cols>
    <col min="1" max="4" width="9.140625" style="1"/>
    <col min="5" max="5" width="12.85546875" style="1" customWidth="1"/>
    <col min="6" max="7" width="14.140625" style="1" customWidth="1"/>
    <col min="8" max="16384" width="9.140625" style="1"/>
  </cols>
  <sheetData>
    <row r="6" spans="3:7" ht="30" x14ac:dyDescent="0.25">
      <c r="C6" s="2"/>
      <c r="D6" s="2"/>
      <c r="E6" s="3" t="s">
        <v>0</v>
      </c>
      <c r="F6" s="3" t="s">
        <v>2</v>
      </c>
      <c r="G6" s="3" t="s">
        <v>1</v>
      </c>
    </row>
    <row r="7" spans="3:7" x14ac:dyDescent="0.25">
      <c r="C7" s="4" t="s">
        <v>11</v>
      </c>
      <c r="D7" s="3" t="s">
        <v>3</v>
      </c>
      <c r="E7" s="2">
        <v>65</v>
      </c>
      <c r="F7" s="2">
        <v>65</v>
      </c>
      <c r="G7" s="2"/>
    </row>
    <row r="8" spans="3:7" x14ac:dyDescent="0.25">
      <c r="C8" s="4"/>
      <c r="D8" s="3" t="s">
        <v>4</v>
      </c>
      <c r="E8" s="2">
        <v>40</v>
      </c>
      <c r="F8" s="2">
        <v>40</v>
      </c>
      <c r="G8" s="2"/>
    </row>
    <row r="9" spans="3:7" x14ac:dyDescent="0.25">
      <c r="C9" s="4"/>
      <c r="D9" s="3" t="s">
        <v>5</v>
      </c>
      <c r="E9" s="2">
        <v>45</v>
      </c>
      <c r="F9" s="2">
        <v>45</v>
      </c>
      <c r="G9" s="2"/>
    </row>
    <row r="10" spans="3:7" x14ac:dyDescent="0.25">
      <c r="C10" s="4"/>
      <c r="D10" s="3" t="s">
        <v>6</v>
      </c>
      <c r="E10" s="2">
        <v>100</v>
      </c>
      <c r="F10" s="2">
        <v>100</v>
      </c>
      <c r="G10" s="2"/>
    </row>
    <row r="11" spans="3:7" x14ac:dyDescent="0.25">
      <c r="C11" s="4"/>
      <c r="D11" s="3" t="s">
        <v>7</v>
      </c>
      <c r="E11" s="2">
        <v>45</v>
      </c>
      <c r="F11" s="2">
        <v>45</v>
      </c>
      <c r="G11" s="2"/>
    </row>
    <row r="12" spans="3:7" x14ac:dyDescent="0.25">
      <c r="C12" s="4"/>
      <c r="D12" s="3" t="s">
        <v>8</v>
      </c>
      <c r="E12" s="2">
        <v>100</v>
      </c>
      <c r="F12" s="2">
        <v>100</v>
      </c>
      <c r="G12" s="2"/>
    </row>
    <row r="13" spans="3:7" x14ac:dyDescent="0.25">
      <c r="C13" s="4"/>
      <c r="D13" s="3" t="s">
        <v>9</v>
      </c>
      <c r="E13" s="2">
        <v>45</v>
      </c>
      <c r="F13" s="2">
        <v>45</v>
      </c>
      <c r="G13" s="2"/>
    </row>
    <row r="14" spans="3:7" x14ac:dyDescent="0.25">
      <c r="C14" s="4"/>
      <c r="D14" s="3" t="s">
        <v>10</v>
      </c>
      <c r="E14" s="2">
        <v>100</v>
      </c>
      <c r="F14" s="2">
        <v>100</v>
      </c>
      <c r="G14" s="2"/>
    </row>
    <row r="15" spans="3:7" x14ac:dyDescent="0.25">
      <c r="C15" s="2"/>
      <c r="D15" s="2" t="s">
        <v>13</v>
      </c>
      <c r="E15" s="2">
        <f>AVERAGE(E7:E14)</f>
        <v>67.5</v>
      </c>
      <c r="F15" s="2">
        <f t="shared" ref="F15:G15" si="0">AVERAGE(F7:F14)</f>
        <v>67.5</v>
      </c>
      <c r="G15" s="2" t="e">
        <f t="shared" si="0"/>
        <v>#DIV/0!</v>
      </c>
    </row>
    <row r="17" spans="3:7" ht="30" x14ac:dyDescent="0.25">
      <c r="C17" s="2"/>
      <c r="D17" s="2"/>
      <c r="E17" s="3" t="s">
        <v>0</v>
      </c>
      <c r="F17" s="3" t="s">
        <v>2</v>
      </c>
      <c r="G17" s="3" t="s">
        <v>1</v>
      </c>
    </row>
    <row r="18" spans="3:7" x14ac:dyDescent="0.25">
      <c r="C18" s="4" t="s">
        <v>12</v>
      </c>
      <c r="D18" s="3" t="s">
        <v>3</v>
      </c>
      <c r="E18" s="2">
        <v>65.010000000000005</v>
      </c>
      <c r="F18" s="2">
        <v>52.26</v>
      </c>
      <c r="G18" s="2">
        <v>53.01</v>
      </c>
    </row>
    <row r="19" spans="3:7" x14ac:dyDescent="0.25">
      <c r="C19" s="4"/>
      <c r="D19" s="3" t="s">
        <v>4</v>
      </c>
      <c r="E19" s="2">
        <v>45.09</v>
      </c>
      <c r="F19" s="2">
        <v>40.92</v>
      </c>
      <c r="G19" s="2">
        <v>39.28</v>
      </c>
    </row>
    <row r="20" spans="3:7" x14ac:dyDescent="0.25">
      <c r="C20" s="4"/>
      <c r="D20" s="3" t="s">
        <v>5</v>
      </c>
      <c r="E20" s="2">
        <v>63.11</v>
      </c>
      <c r="F20" s="2">
        <v>44.76</v>
      </c>
      <c r="G20" s="2">
        <v>44.39</v>
      </c>
    </row>
    <row r="21" spans="3:7" x14ac:dyDescent="0.25">
      <c r="C21" s="4"/>
      <c r="D21" s="3" t="s">
        <v>6</v>
      </c>
      <c r="E21" s="2">
        <v>85.41</v>
      </c>
      <c r="F21" s="2">
        <v>27.47</v>
      </c>
      <c r="G21" s="2">
        <v>37.72</v>
      </c>
    </row>
    <row r="22" spans="3:7" x14ac:dyDescent="0.25">
      <c r="C22" s="4"/>
      <c r="D22" s="3" t="s">
        <v>7</v>
      </c>
      <c r="E22" s="2">
        <v>44.44</v>
      </c>
      <c r="F22" s="2">
        <v>41.94</v>
      </c>
      <c r="G22" s="2">
        <v>43.66</v>
      </c>
    </row>
    <row r="23" spans="3:7" x14ac:dyDescent="0.25">
      <c r="C23" s="4"/>
      <c r="D23" s="3" t="s">
        <v>8</v>
      </c>
      <c r="E23" s="2">
        <v>84.84</v>
      </c>
      <c r="F23" s="2">
        <v>61.96</v>
      </c>
      <c r="G23" s="2">
        <v>62.17</v>
      </c>
    </row>
    <row r="24" spans="3:7" x14ac:dyDescent="0.25">
      <c r="C24" s="4"/>
      <c r="D24" s="3" t="s">
        <v>9</v>
      </c>
      <c r="E24" s="2">
        <v>53.21</v>
      </c>
      <c r="F24" s="2">
        <v>41.32</v>
      </c>
      <c r="G24" s="2">
        <v>40.74</v>
      </c>
    </row>
    <row r="25" spans="3:7" x14ac:dyDescent="0.25">
      <c r="C25" s="4"/>
      <c r="D25" s="3" t="s">
        <v>10</v>
      </c>
      <c r="E25" s="2">
        <v>69.67</v>
      </c>
      <c r="F25" s="2">
        <v>62.07</v>
      </c>
      <c r="G25" s="2">
        <v>61.54</v>
      </c>
    </row>
    <row r="26" spans="3:7" x14ac:dyDescent="0.25">
      <c r="C26" s="2"/>
      <c r="D26" s="2" t="s">
        <v>13</v>
      </c>
      <c r="E26" s="2">
        <f>MROUND(AVERAGE(E18:E25),0.25)</f>
        <v>63.75</v>
      </c>
      <c r="F26" s="2">
        <f t="shared" ref="F26:G26" si="1">MROUND(AVERAGE(F18:F25),0.25)</f>
        <v>46.5</v>
      </c>
      <c r="G26" s="2">
        <f t="shared" si="1"/>
        <v>47.75</v>
      </c>
    </row>
  </sheetData>
  <mergeCells count="2">
    <mergeCell ref="C7:C14"/>
    <mergeCell ref="C18:C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Ehsan Shahmi Chowdhury</dc:creator>
  <cp:lastModifiedBy>Mohammad Chowdhury</cp:lastModifiedBy>
  <dcterms:created xsi:type="dcterms:W3CDTF">2015-06-05T18:17:20Z</dcterms:created>
  <dcterms:modified xsi:type="dcterms:W3CDTF">2025-11-22T05:28:48Z</dcterms:modified>
</cp:coreProperties>
</file>